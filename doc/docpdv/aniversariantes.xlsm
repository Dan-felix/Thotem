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fif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A:\totem\doc\docpdv\"/>
    </mc:Choice>
  </mc:AlternateContent>
  <bookViews>
    <workbookView xWindow="0" yWindow="0" windowWidth="24000" windowHeight="9600"/>
  </bookViews>
  <sheets>
    <sheet name="DADOS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" i="1" l="1"/>
  <c r="C4" i="1"/>
  <c r="D12" i="1"/>
  <c r="D15" i="1"/>
  <c r="C6" i="1"/>
  <c r="D6" i="1" s="1"/>
  <c r="D13" i="1"/>
  <c r="E10" i="1"/>
  <c r="G10" i="1" s="1"/>
  <c r="C8" i="1"/>
  <c r="F8" i="1" s="1"/>
  <c r="C14" i="1"/>
  <c r="E14" i="1" s="1"/>
  <c r="G14" i="1" s="1"/>
  <c r="C9" i="1"/>
  <c r="D9" i="1" s="1"/>
  <c r="C7" i="1"/>
  <c r="E7" i="1" s="1"/>
  <c r="G7" i="1" s="1"/>
  <c r="D14" i="1" l="1"/>
  <c r="D8" i="1"/>
  <c r="D7" i="1"/>
  <c r="D10" i="1"/>
  <c r="F10" i="1"/>
  <c r="F15" i="1"/>
  <c r="E15" i="1"/>
  <c r="G15" i="1" s="1"/>
  <c r="F7" i="1"/>
  <c r="F6" i="1"/>
  <c r="E6" i="1"/>
  <c r="G6" i="1" s="1"/>
  <c r="F9" i="1"/>
  <c r="E9" i="1"/>
  <c r="G9" i="1" s="1"/>
  <c r="F14" i="1"/>
  <c r="E13" i="1"/>
  <c r="G13" i="1" s="1"/>
  <c r="F13" i="1"/>
  <c r="E8" i="1"/>
  <c r="G8" i="1" s="1"/>
  <c r="D4" i="1"/>
  <c r="C5" i="1"/>
  <c r="D5" i="1" s="1"/>
  <c r="C3" i="1"/>
  <c r="D3" i="1" s="1"/>
  <c r="D11" i="1"/>
  <c r="F3" i="1" l="1"/>
  <c r="F5" i="1"/>
  <c r="F12" i="1"/>
  <c r="F11" i="1"/>
  <c r="F4" i="1"/>
  <c r="E3" i="1"/>
  <c r="G3" i="1" s="1"/>
  <c r="E5" i="1"/>
  <c r="G5" i="1" s="1"/>
  <c r="E12" i="1"/>
  <c r="G12" i="1" s="1"/>
  <c r="E11" i="1"/>
  <c r="G11" i="1" s="1"/>
  <c r="E4" i="1"/>
  <c r="G4" i="1" s="1"/>
</calcChain>
</file>

<file path=xl/sharedStrings.xml><?xml version="1.0" encoding="utf-8"?>
<sst xmlns="http://schemas.openxmlformats.org/spreadsheetml/2006/main" count="21" uniqueCount="21">
  <si>
    <t>Nome do Funcionário</t>
  </si>
  <si>
    <t>Data Nascimento</t>
  </si>
  <si>
    <t>Data Aniversário</t>
  </si>
  <si>
    <t>Meses Restante</t>
  </si>
  <si>
    <t>Dias Restante</t>
  </si>
  <si>
    <t>Dia da Semana</t>
  </si>
  <si>
    <t>Mensagem de Aviso</t>
  </si>
  <si>
    <t xml:space="preserve">Leandro Vieira </t>
  </si>
  <si>
    <t>Rômulo Almeida</t>
  </si>
  <si>
    <t>Bruno Silva</t>
  </si>
  <si>
    <t>Maicon Coutinho</t>
  </si>
  <si>
    <t>Rodrigo Eggenstein</t>
  </si>
  <si>
    <t>Cleiton Vieira</t>
  </si>
  <si>
    <t>Luiz Oliveira</t>
  </si>
  <si>
    <t>Daniel Silva</t>
  </si>
  <si>
    <t>Othon Reis</t>
  </si>
  <si>
    <t>Aguinaldo Matheus</t>
  </si>
  <si>
    <t>Matheus Carvalho</t>
  </si>
  <si>
    <t>Paulo Victor</t>
  </si>
  <si>
    <t>Fabricio Suarez</t>
  </si>
  <si>
    <t>Aniversariante do Mês PDV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</si>
</sst>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&quot;(&quot;00&quot;) &quot;0\ 0000&quot;-&quot;0000"/>
    <numFmt numFmtId="165" formatCode="dddd"/>
    <numFmt numFmtId="166" formatCode="dd/mm/yyyy\ hh:mm:ss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Century Gothic"/>
      <family val="2"/>
    </font>
    <font>
      <b/>
      <sz val="11"/>
      <color theme="1"/>
      <name val="Century Gothic"/>
      <family val="2"/>
    </font>
    <font>
      <b/>
      <sz val="18"/>
      <color theme="1" tint="0.499984740745262"/>
      <name val="Century Gothic"/>
      <family val="2"/>
    </font>
    <font>
      <u val="double"/>
      <sz val="24"/>
      <color theme="1" tint="0.499984740745262"/>
      <name val="Century Gothic"/>
      <family val="2"/>
    </font>
    <font>
      <sz val="10"/>
      <color theme="1"/>
      <name val="Century Gothic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165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66" fontId="3" fillId="0" borderId="0" xfId="0" applyNumberFormat="1" applyFont="1" applyAlignment="1">
      <alignment vertical="center"/>
    </xf>
    <xf numFmtId="0" fontId="4" fillId="0" borderId="0" xfId="0" applyFont="1" applyAlignment="1">
      <alignment vertical="center"/>
    </xf>
    <xf numFmtId="0" fontId="2" fillId="0" borderId="5" xfId="0" applyFont="1" applyBorder="1" applyAlignment="1">
      <alignment horizontal="center" vertical="center"/>
    </xf>
    <xf numFmtId="14" fontId="2" fillId="0" borderId="6" xfId="0" applyNumberFormat="1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165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vertical="center"/>
    </xf>
    <xf numFmtId="14" fontId="1" fillId="0" borderId="1" xfId="0" applyNumberFormat="1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165" fontId="1" fillId="0" borderId="1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vertical="center"/>
    </xf>
    <xf numFmtId="14" fontId="5" fillId="0" borderId="1" xfId="0" applyNumberFormat="1" applyFont="1" applyBorder="1" applyAlignment="1">
      <alignment horizontal="center" vertical="center"/>
    </xf>
    <xf numFmtId="0" fontId="5" fillId="0" borderId="1" xfId="0" applyNumberFormat="1" applyFont="1" applyBorder="1" applyAlignment="1">
      <alignment horizontal="center" vertical="center"/>
    </xf>
    <xf numFmtId="165" fontId="5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0" borderId="3" xfId="0" applyFont="1" applyBorder="1" applyAlignment="1">
      <alignment vertical="center"/>
    </xf>
    <xf numFmtId="14" fontId="1" fillId="0" borderId="9" xfId="0" applyNumberFormat="1" applyFont="1" applyBorder="1" applyAlignment="1">
      <alignment horizontal="center" vertical="center"/>
    </xf>
    <xf numFmtId="0" fontId="1" fillId="0" borderId="9" xfId="0" applyNumberFormat="1" applyFont="1" applyBorder="1" applyAlignment="1">
      <alignment horizontal="center" vertical="center"/>
    </xf>
    <xf numFmtId="165" fontId="1" fillId="0" borderId="9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NumberFormat="1" applyFont="1" applyBorder="1" applyAlignment="1">
      <alignment horizontal="center" vertical="center"/>
    </xf>
    <xf numFmtId="0" fontId="1" fillId="0" borderId="2" xfId="0" applyNumberFormat="1" applyFont="1" applyBorder="1" applyAlignment="1">
      <alignment horizontal="center" vertical="center"/>
    </xf>
  </cellXfs>
  <cellStyles count="1">
    <cellStyle name="Normal" xfId="0" builtinId="0"/>
  </cellStyles>
  <dxfs count="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5" formatCode="dddd"/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7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numFmt numFmtId="167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general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scheme val="none"/>
      </font>
      <alignment horizontal="general" vertical="center" textRotation="0" wrapText="0" indent="0" justifyLastLine="0" shrinkToFit="0" readingOrder="0"/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f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400050</xdr:colOff>
      <xdr:row>0</xdr:row>
      <xdr:rowOff>47625</xdr:rowOff>
    </xdr:from>
    <xdr:to>
      <xdr:col>8</xdr:col>
      <xdr:colOff>1</xdr:colOff>
      <xdr:row>0</xdr:row>
      <xdr:rowOff>695325</xdr:rowOff>
    </xdr:to>
    <xdr:sp macro="" textlink="$H$1">
      <xdr:nvSpPr>
        <xdr:cNvPr id="2" name="Retângulo: Cantos Arredondados 1">
          <a:extLst>
            <a:ext uri="{FF2B5EF4-FFF2-40B4-BE49-F238E27FC236}">
              <a16:creationId xmlns:a16="http://schemas.microsoft.com/office/drawing/2014/main" id="{432613D5-A2AA-42D2-8275-2A6B9C1050CE}"/>
            </a:ext>
          </a:extLst>
        </xdr:cNvPr>
        <xdr:cNvSpPr/>
      </xdr:nvSpPr>
      <xdr:spPr>
        <a:xfrm>
          <a:off x="9115425" y="47625"/>
          <a:ext cx="5029201" cy="647700"/>
        </a:xfrm>
        <a:prstGeom prst="roundRect">
          <a:avLst/>
        </a:prstGeom>
        <a:solidFill>
          <a:schemeClr val="bg1">
            <a:lumMod val="95000"/>
          </a:schemeClr>
        </a:solidFill>
        <a:ln w="190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fld id="{90942D6F-A9D7-4F0A-AB9B-0FFC22731CB0}" type="TxLink">
            <a:rPr lang="en-US" sz="2400" b="1" i="0" u="none" strike="noStrike">
              <a:solidFill>
                <a:srgbClr val="808080"/>
              </a:solidFill>
              <a:latin typeface="Century Gothic"/>
            </a:rPr>
            <a:pPr algn="ctr"/>
            <a:t>03/07/2019 16:11:51</a:t>
          </a:fld>
          <a:endParaRPr lang="pt-BR" sz="1400"/>
        </a:p>
      </xdr:txBody>
    </xdr:sp>
    <xdr:clientData/>
  </xdr:twoCellAnchor>
  <xdr:twoCellAnchor editAs="oneCell">
    <xdr:from>
      <xdr:col>3</xdr:col>
      <xdr:colOff>457201</xdr:colOff>
      <xdr:row>0</xdr:row>
      <xdr:rowOff>0</xdr:rowOff>
    </xdr:from>
    <xdr:to>
      <xdr:col>4</xdr:col>
      <xdr:colOff>442190</xdr:colOff>
      <xdr:row>0</xdr:row>
      <xdr:rowOff>714375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19726" y="0"/>
          <a:ext cx="1442314" cy="71437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tblDados" displayName="tblDados" ref="A2:G15" totalsRowShown="0" headerRowDxfId="11" dataDxfId="9" headerRowBorderDxfId="10" tableBorderDxfId="8" totalsRowBorderDxfId="7">
  <autoFilter ref="A2:G15"/>
  <sortState ref="A3:G15">
    <sortCondition ref="D2:D15"/>
  </sortState>
  <tableColumns count="7">
    <tableColumn id="1" name="Nome do Funcionário" dataDxfId="6"/>
    <tableColumn id="2" name="Data Nascimento" dataDxfId="5"/>
    <tableColumn id="3" name="Data Aniversário" dataDxfId="4">
      <calculatedColumnFormula>IF(tblDados[[#This Row],[Data Nascimento]]="","",IF(TEXT(tblDados[[#This Row],[Data Nascimento]],"dd/mm")&gt;=TEXT(TODAY(),"dd/mm"),DATE(YEAR(TODAY()),MONTH(tblDados[[#This Row],[Data Nascimento]]),DAY(tblDados[[#This Row],[Data Nascimento]])),DATE(YEAR(TODAY())+1,MONTH(tblDados[[#This Row],[Data Nascimento]]),DAY(tblDados[[#This Row],[Data Nascimento]]))))</calculatedColumnFormula>
    </tableColumn>
    <tableColumn id="4" name="Meses Restante" dataDxfId="3">
      <calculatedColumnFormula>IF(tblDados[[#This Row],[Data Aniversário]]="","",DATEDIF(TODAY(),tblDados[[#This Row],[Data Aniversário]],"m")&amp;" "&amp; "mes(es)")</calculatedColumnFormula>
    </tableColumn>
    <tableColumn id="5" name="Dias Restante" dataDxfId="2">
      <calculatedColumnFormula>IF(tblDados[[#This Row],[Data Aniversário]]="","",DATEDIF(TODAY(),tblDados[[#This Row],[Data Aniversário]],"d"))</calculatedColumnFormula>
    </tableColumn>
    <tableColumn id="6" name="Dia da Semana" dataDxfId="1">
      <calculatedColumnFormula>IF(tblDados[[#This Row],[Data Aniversário]]="","",WEEKDAY(tblDados[[#This Row],[Data Aniversário]]))</calculatedColumnFormula>
    </tableColumn>
    <tableColumn id="8" name="Mensagem de Aviso" dataDxfId="0">
      <calculatedColumnFormula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H15"/>
  <sheetViews>
    <sheetView showGridLines="0" tabSelected="1" workbookViewId="0">
      <selection activeCell="B5" sqref="B5"/>
    </sheetView>
  </sheetViews>
  <sheetFormatPr defaultRowHeight="24.95" customHeight="1" x14ac:dyDescent="0.25"/>
  <cols>
    <col min="1" max="1" width="35.7109375" style="1" customWidth="1"/>
    <col min="2" max="2" width="17.7109375" style="3" customWidth="1"/>
    <col min="3" max="3" width="21" style="3" customWidth="1"/>
    <col min="4" max="4" width="21.85546875" style="2" customWidth="1"/>
    <col min="5" max="5" width="13.42578125" style="2" customWidth="1"/>
    <col min="6" max="6" width="17.42578125" style="4" customWidth="1"/>
    <col min="7" max="7" width="39.7109375" style="5" customWidth="1"/>
    <col min="8" max="8" width="15.42578125" style="1" customWidth="1"/>
    <col min="9" max="16384" width="9.140625" style="1"/>
  </cols>
  <sheetData>
    <row r="1" spans="1:8" ht="60" customHeight="1" x14ac:dyDescent="0.25">
      <c r="A1" s="8" t="s">
        <v>20</v>
      </c>
      <c r="H1" s="7">
        <f ca="1">NOW()</f>
        <v>43649.67489490741</v>
      </c>
    </row>
    <row r="2" spans="1:8" s="6" customFormat="1" ht="30" customHeight="1" x14ac:dyDescent="0.25">
      <c r="A2" s="9" t="s">
        <v>0</v>
      </c>
      <c r="B2" s="10" t="s">
        <v>1</v>
      </c>
      <c r="C2" s="10" t="s">
        <v>2</v>
      </c>
      <c r="D2" s="11" t="s">
        <v>3</v>
      </c>
      <c r="E2" s="11" t="s">
        <v>4</v>
      </c>
      <c r="F2" s="12" t="s">
        <v>5</v>
      </c>
      <c r="G2" s="13" t="s">
        <v>6</v>
      </c>
    </row>
    <row r="3" spans="1:8" ht="24.95" customHeight="1" x14ac:dyDescent="0.25">
      <c r="A3" s="14" t="s">
        <v>10</v>
      </c>
      <c r="B3" s="15">
        <v>34542</v>
      </c>
      <c r="C3" s="15">
        <f ca="1">IF(tblDados[[#This Row],[Data Nascimento]]="","",IF(TEXT(tblDados[[#This Row],[Data Nascimento]],"dd/mm")&gt;=TEXT(TODAY(),"dd/mm"),DATE(YEAR(TODAY()),MONTH(tblDados[[#This Row],[Data Nascimento]]),DAY(tblDados[[#This Row],[Data Nascimento]])),DATE(YEAR(TODAY())+1,MONTH(tblDados[[#This Row],[Data Nascimento]]),DAY(tblDados[[#This Row],[Data Nascimento]]))))</f>
        <v>43673</v>
      </c>
      <c r="D3" s="16" t="str">
        <f ca="1">IF(tblDados[[#This Row],[Data Aniversário]]="","",DATEDIF(TODAY(),tblDados[[#This Row],[Data Aniversário]],"m")&amp;" "&amp; "mes(es)")</f>
        <v>0 mes(es)</v>
      </c>
      <c r="E3" s="16">
        <f ca="1">IF(tblDados[[#This Row],[Data Aniversário]]="","",DATEDIF(TODAY(),tblDados[[#This Row],[Data Aniversário]],"d"))</f>
        <v>24</v>
      </c>
      <c r="F3" s="17">
        <f ca="1">IF(tblDados[[#This Row],[Data Aniversário]]="","",WEEKDAY(tblDados[[#This Row],[Data Aniversário]]))</f>
        <v>7</v>
      </c>
      <c r="G3" s="27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24 dia(s)</v>
      </c>
    </row>
    <row r="4" spans="1:8" ht="24.95" customHeight="1" x14ac:dyDescent="0.25">
      <c r="A4" s="14" t="s">
        <v>7</v>
      </c>
      <c r="B4" s="15">
        <v>33448</v>
      </c>
      <c r="C4" s="15">
        <f ca="1">IF(tblDados[[#This Row],[Data Nascimento]]="","",IF(TEXT(tblDados[[#This Row],[Data Nascimento]],"dd/mm")&gt;=TEXT(TODAY(),"dd/mm"),DATE(YEAR(TODAY()),MONTH(tblDados[[#This Row],[Data Nascimento]]),DAY(tblDados[[#This Row],[Data Nascimento]])),DATE(YEAR(TODAY())+1,MONTH(tblDados[[#This Row],[Data Nascimento]]),DAY(tblDados[[#This Row],[Data Nascimento]]))))</f>
        <v>43675</v>
      </c>
      <c r="D4" s="16" t="str">
        <f ca="1">IF(tblDados[[#This Row],[Data Aniversário]]="","",DATEDIF(TODAY(),tblDados[[#This Row],[Data Aniversário]],"m")&amp;" "&amp; "mes(es)")</f>
        <v>0 mes(es)</v>
      </c>
      <c r="E4" s="16">
        <f ca="1">IF(tblDados[[#This Row],[Data Aniversário]]="","",DATEDIF(TODAY(),tblDados[[#This Row],[Data Aniversário]],"d"))</f>
        <v>26</v>
      </c>
      <c r="F4" s="17">
        <f ca="1">IF(tblDados[[#This Row],[Data Aniversário]]="","",WEEKDAY(tblDados[[#This Row],[Data Aniversário]]))</f>
        <v>2</v>
      </c>
      <c r="G4" s="27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26 dia(s)</v>
      </c>
    </row>
    <row r="5" spans="1:8" ht="24.95" customHeight="1" x14ac:dyDescent="0.25">
      <c r="A5" s="14" t="s">
        <v>9</v>
      </c>
      <c r="B5" s="15">
        <v>30209</v>
      </c>
      <c r="C5" s="15">
        <f ca="1">IF(tblDados[[#This Row],[Data Nascimento]]="","",IF(TEXT(tblDados[[#This Row],[Data Nascimento]],"dd/mm")&gt;=TEXT(TODAY(),"dd/mm"),DATE(YEAR(TODAY()),MONTH(tblDados[[#This Row],[Data Nascimento]]),DAY(tblDados[[#This Row],[Data Nascimento]])),DATE(YEAR(TODAY())+1,MONTH(tblDados[[#This Row],[Data Nascimento]]),DAY(tblDados[[#This Row],[Data Nascimento]]))))</f>
        <v>43723</v>
      </c>
      <c r="D5" s="16" t="str">
        <f ca="1">IF(tblDados[[#This Row],[Data Aniversário]]="","",DATEDIF(TODAY(),tblDados[[#This Row],[Data Aniversário]],"m")&amp;" "&amp; "mes(es)")</f>
        <v>2 mes(es)</v>
      </c>
      <c r="E5" s="16">
        <f ca="1">IF(tblDados[[#This Row],[Data Aniversário]]="","",DATEDIF(TODAY(),tblDados[[#This Row],[Data Aniversário]],"d"))</f>
        <v>74</v>
      </c>
      <c r="F5" s="17">
        <f ca="1">IF(tblDados[[#This Row],[Data Aniversário]]="","",WEEKDAY(tblDados[[#This Row],[Data Aniversário]]))</f>
        <v>1</v>
      </c>
      <c r="G5" s="27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74 dia(s)</v>
      </c>
    </row>
    <row r="6" spans="1:8" ht="24.95" customHeight="1" x14ac:dyDescent="0.25">
      <c r="A6" s="18" t="s">
        <v>12</v>
      </c>
      <c r="B6" s="19">
        <v>32791</v>
      </c>
      <c r="C6" s="19">
        <f ca="1">IF(tblDados[[#This Row],[Data Nascimento]]="","",IF(TEXT(tblDados[[#This Row],[Data Nascimento]],"dd/mm")&gt;=TEXT(TODAY(),"dd/mm"),DATE(YEAR(TODAY()),MONTH(tblDados[[#This Row],[Data Nascimento]]),DAY(tblDados[[#This Row],[Data Nascimento]])),DATE(YEAR(TODAY())+1,MONTH(tblDados[[#This Row],[Data Nascimento]]),DAY(tblDados[[#This Row],[Data Nascimento]]))))</f>
        <v>43748</v>
      </c>
      <c r="D6" s="16" t="str">
        <f ca="1">IF(tblDados[[#This Row],[Data Aniversário]]="","",DATEDIF(TODAY(),tblDados[[#This Row],[Data Aniversário]],"m")&amp;" "&amp; "mes(es)")</f>
        <v>3 mes(es)</v>
      </c>
      <c r="E6" s="20">
        <f ca="1">IF(tblDados[[#This Row],[Data Aniversário]]="","",DATEDIF(TODAY(),tblDados[[#This Row],[Data Aniversário]],"d"))</f>
        <v>99</v>
      </c>
      <c r="F6" s="21">
        <f ca="1">IF(tblDados[[#This Row],[Data Aniversário]]="","",WEEKDAY(tblDados[[#This Row],[Data Aniversário]]))</f>
        <v>5</v>
      </c>
      <c r="G6" s="28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99 dia(s)</v>
      </c>
    </row>
    <row r="7" spans="1:8" ht="24.95" customHeight="1" x14ac:dyDescent="0.25">
      <c r="A7" s="18" t="s">
        <v>18</v>
      </c>
      <c r="B7" s="19">
        <v>31708</v>
      </c>
      <c r="C7" s="19">
        <f ca="1">IF(tblDados[[#This Row],[Data Nascimento]]="","",IF(TEXT(tblDados[[#This Row],[Data Nascimento]],"dd/mm")&gt;=TEXT(TODAY(),"dd/mm"),DATE(YEAR(TODAY()),MONTH(tblDados[[#This Row],[Data Nascimento]]),DAY(tblDados[[#This Row],[Data Nascimento]])),DATE(YEAR(TODAY())+1,MONTH(tblDados[[#This Row],[Data Nascimento]]),DAY(tblDados[[#This Row],[Data Nascimento]]))))</f>
        <v>43761</v>
      </c>
      <c r="D7" s="16" t="str">
        <f ca="1">IF(tblDados[[#This Row],[Data Aniversário]]="","",DATEDIF(TODAY(),tblDados[[#This Row],[Data Aniversário]],"m")&amp;" "&amp; "mes(es)")</f>
        <v>3 mes(es)</v>
      </c>
      <c r="E7" s="20">
        <f ca="1">IF(tblDados[[#This Row],[Data Aniversário]]="","",DATEDIF(TODAY(),tblDados[[#This Row],[Data Aniversário]],"d"))</f>
        <v>112</v>
      </c>
      <c r="F7" s="21">
        <f ca="1">IF(tblDados[[#This Row],[Data Aniversário]]="","",WEEKDAY(tblDados[[#This Row],[Data Aniversário]]))</f>
        <v>4</v>
      </c>
      <c r="G7" s="28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112 dia(s)</v>
      </c>
    </row>
    <row r="8" spans="1:8" ht="24.95" customHeight="1" x14ac:dyDescent="0.25">
      <c r="A8" s="18" t="s">
        <v>15</v>
      </c>
      <c r="B8" s="19">
        <v>33195</v>
      </c>
      <c r="C8" s="19">
        <f ca="1">IF(tblDados[[#This Row],[Data Nascimento]]="","",IF(TEXT(tblDados[[#This Row],[Data Nascimento]],"dd/mm")&gt;=TEXT(TODAY(),"dd/mm"),DATE(YEAR(TODAY()),MONTH(tblDados[[#This Row],[Data Nascimento]]),DAY(tblDados[[#This Row],[Data Nascimento]])),DATE(YEAR(TODAY())+1,MONTH(tblDados[[#This Row],[Data Nascimento]]),DAY(tblDados[[#This Row],[Data Nascimento]]))))</f>
        <v>43787</v>
      </c>
      <c r="D8" s="16" t="str">
        <f ca="1">IF(tblDados[[#This Row],[Data Aniversário]]="","",DATEDIF(TODAY(),tblDados[[#This Row],[Data Aniversário]],"m")&amp;" "&amp; "mes(es)")</f>
        <v>4 mes(es)</v>
      </c>
      <c r="E8" s="20">
        <f ca="1">IF(tblDados[[#This Row],[Data Aniversário]]="","",DATEDIF(TODAY(),tblDados[[#This Row],[Data Aniversário]],"d"))</f>
        <v>138</v>
      </c>
      <c r="F8" s="21">
        <f ca="1">IF(tblDados[[#This Row],[Data Aniversário]]="","",WEEKDAY(tblDados[[#This Row],[Data Aniversário]]))</f>
        <v>2</v>
      </c>
      <c r="G8" s="28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138 dia(s)</v>
      </c>
    </row>
    <row r="9" spans="1:8" ht="24.95" customHeight="1" x14ac:dyDescent="0.25">
      <c r="A9" s="18" t="s">
        <v>17</v>
      </c>
      <c r="B9" s="19">
        <v>35023</v>
      </c>
      <c r="C9" s="19">
        <f ca="1">IF(tblDados[[#This Row],[Data Nascimento]]="","",IF(TEXT(tblDados[[#This Row],[Data Nascimento]],"dd/mm")&gt;=TEXT(TODAY(),"dd/mm"),DATE(YEAR(TODAY()),MONTH(tblDados[[#This Row],[Data Nascimento]]),DAY(tblDados[[#This Row],[Data Nascimento]])),DATE(YEAR(TODAY())+1,MONTH(tblDados[[#This Row],[Data Nascimento]]),DAY(tblDados[[#This Row],[Data Nascimento]]))))</f>
        <v>43789</v>
      </c>
      <c r="D9" s="16" t="str">
        <f ca="1">IF(tblDados[[#This Row],[Data Aniversário]]="","",DATEDIF(TODAY(),tblDados[[#This Row],[Data Aniversário]],"m")&amp;" "&amp; "mes(es)")</f>
        <v>4 mes(es)</v>
      </c>
      <c r="E9" s="20">
        <f ca="1">IF(tblDados[[#This Row],[Data Aniversário]]="","",DATEDIF(TODAY(),tblDados[[#This Row],[Data Aniversário]],"d"))</f>
        <v>140</v>
      </c>
      <c r="F9" s="21">
        <f ca="1">IF(tblDados[[#This Row],[Data Aniversário]]="","",WEEKDAY(tblDados[[#This Row],[Data Aniversário]]))</f>
        <v>4</v>
      </c>
      <c r="G9" s="28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140 dia(s)</v>
      </c>
    </row>
    <row r="10" spans="1:8" ht="24.95" customHeight="1" x14ac:dyDescent="0.25">
      <c r="A10" s="18" t="s">
        <v>14</v>
      </c>
      <c r="B10" s="19">
        <v>31091</v>
      </c>
      <c r="C10" s="19">
        <v>43874</v>
      </c>
      <c r="D10" s="16" t="str">
        <f ca="1">IF(tblDados[[#This Row],[Data Aniversário]]="","",DATEDIF(TODAY(),tblDados[[#This Row],[Data Aniversário]],"m")&amp;" "&amp; "mes(es)")</f>
        <v>7 mes(es)</v>
      </c>
      <c r="E10" s="20">
        <f ca="1">IF(tblDados[[#This Row],[Data Aniversário]]="","",DATEDIF(TODAY(),tblDados[[#This Row],[Data Aniversário]],"d"))</f>
        <v>225</v>
      </c>
      <c r="F10" s="21">
        <f>IF(tblDados[[#This Row],[Data Aniversário]]="","",WEEKDAY(tblDados[[#This Row],[Data Aniversário]]))</f>
        <v>5</v>
      </c>
      <c r="G10" s="28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225 dia(s)</v>
      </c>
    </row>
    <row r="11" spans="1:8" ht="24.95" customHeight="1" x14ac:dyDescent="0.25">
      <c r="A11" s="14" t="s">
        <v>11</v>
      </c>
      <c r="B11" s="15">
        <v>32934</v>
      </c>
      <c r="C11" s="15">
        <v>43892</v>
      </c>
      <c r="D11" s="16" t="str">
        <f ca="1">IF(tblDados[[#This Row],[Data Aniversário]]="","",DATEDIF(TODAY(),tblDados[[#This Row],[Data Aniversário]],"m")&amp;" "&amp; "mes(es)")</f>
        <v>7 mes(es)</v>
      </c>
      <c r="E11" s="22">
        <f ca="1">IF(tblDados[[#This Row],[Data Aniversário]]="","",DATEDIF(TODAY(),tblDados[[#This Row],[Data Aniversário]],"d"))</f>
        <v>243</v>
      </c>
      <c r="F11" s="17">
        <f>IF(tblDados[[#This Row],[Data Aniversário]]="","",WEEKDAY(tblDados[[#This Row],[Data Aniversário]]))</f>
        <v>2</v>
      </c>
      <c r="G11" s="28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243 dia(s)</v>
      </c>
    </row>
    <row r="12" spans="1:8" ht="24.95" customHeight="1" x14ac:dyDescent="0.25">
      <c r="A12" s="14" t="s">
        <v>8</v>
      </c>
      <c r="B12" s="15">
        <v>31170</v>
      </c>
      <c r="C12" s="15">
        <v>43954</v>
      </c>
      <c r="D12" s="22" t="str">
        <f ca="1">IF(tblDados[[#This Row],[Data Aniversário]]="","",DATEDIF(TODAY(),tblDados[[#This Row],[Data Aniversário]],"m")&amp;" "&amp; "mes(es)")</f>
        <v>10 mes(es)</v>
      </c>
      <c r="E12" s="22">
        <f ca="1">IF(tblDados[[#This Row],[Data Aniversário]]="","",DATEDIF(TODAY(),tblDados[[#This Row],[Data Aniversário]],"d"))</f>
        <v>305</v>
      </c>
      <c r="F12" s="17">
        <f>IF(tblDados[[#This Row],[Data Aniversário]]="","",WEEKDAY(tblDados[[#This Row],[Data Aniversário]]))</f>
        <v>1</v>
      </c>
      <c r="G12" s="28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305 dia(s)</v>
      </c>
    </row>
    <row r="13" spans="1:8" ht="24.95" customHeight="1" x14ac:dyDescent="0.25">
      <c r="A13" s="14" t="s">
        <v>13</v>
      </c>
      <c r="B13" s="15">
        <v>30808</v>
      </c>
      <c r="C13" s="15">
        <v>43957</v>
      </c>
      <c r="D13" s="22" t="str">
        <f ca="1">IF(tblDados[[#This Row],[Data Aniversário]]="","",DATEDIF(TODAY(),tblDados[[#This Row],[Data Aniversário]],"m")&amp;" "&amp; "mes(es)")</f>
        <v>10 mes(es)</v>
      </c>
      <c r="E13" s="22">
        <f ca="1">IF(tblDados[[#This Row],[Data Aniversário]]="","",DATEDIF(TODAY(),tblDados[[#This Row],[Data Aniversário]],"d"))</f>
        <v>308</v>
      </c>
      <c r="F13" s="17">
        <f>IF(tblDados[[#This Row],[Data Aniversário]]="","",WEEKDAY(tblDados[[#This Row],[Data Aniversário]]))</f>
        <v>4</v>
      </c>
      <c r="G13" s="28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308 dia(s)</v>
      </c>
    </row>
    <row r="14" spans="1:8" ht="24.95" customHeight="1" x14ac:dyDescent="0.25">
      <c r="A14" s="14" t="s">
        <v>16</v>
      </c>
      <c r="B14" s="15">
        <v>31199</v>
      </c>
      <c r="C14" s="15">
        <f ca="1">IF(tblDados[[#This Row],[Data Nascimento]]="","",IF(TEXT(tblDados[[#This Row],[Data Nascimento]],"dd/mm")&gt;=TEXT(TODAY(),"dd/mm"),DATE(YEAR(TODAY()),MONTH(tblDados[[#This Row],[Data Nascimento]]),DAY(tblDados[[#This Row],[Data Nascimento]])),DATE(YEAR(TODAY())+1,MONTH(tblDados[[#This Row],[Data Nascimento]]),DAY(tblDados[[#This Row],[Data Nascimento]]))))</f>
        <v>43983</v>
      </c>
      <c r="D14" s="22" t="str">
        <f ca="1">IF(tblDados[[#This Row],[Data Aniversário]]="","",DATEDIF(TODAY(),tblDados[[#This Row],[Data Aniversário]],"m")&amp;" "&amp; "mes(es)")</f>
        <v>10 mes(es)</v>
      </c>
      <c r="E14" s="22">
        <f ca="1">IF(tblDados[[#This Row],[Data Aniversário]]="","",DATEDIF(TODAY(),tblDados[[#This Row],[Data Aniversário]],"d"))</f>
        <v>334</v>
      </c>
      <c r="F14" s="17">
        <f ca="1">IF(tblDados[[#This Row],[Data Aniversário]]="","",WEEKDAY(tblDados[[#This Row],[Data Aniversário]]))</f>
        <v>2</v>
      </c>
      <c r="G14" s="28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334 dia(s)</v>
      </c>
    </row>
    <row r="15" spans="1:8" ht="24.95" customHeight="1" x14ac:dyDescent="0.25">
      <c r="A15" s="23" t="s">
        <v>19</v>
      </c>
      <c r="B15" s="24">
        <v>32307</v>
      </c>
      <c r="C15" s="24">
        <v>43995</v>
      </c>
      <c r="D15" s="25" t="str">
        <f ca="1">IF(tblDados[[#This Row],[Data Aniversário]]="","",DATEDIF(TODAY(),tblDados[[#This Row],[Data Aniversário]],"m")&amp;" "&amp; "mes(es)")</f>
        <v>11 mes(es)</v>
      </c>
      <c r="E15" s="25">
        <f ca="1">IF(tblDados[[#This Row],[Data Aniversário]]="","",DATEDIF(TODAY(),tblDados[[#This Row],[Data Aniversário]],"d"))</f>
        <v>346</v>
      </c>
      <c r="F15" s="26">
        <f>IF(tblDados[[#This Row],[Data Aniversário]]="","",WEEKDAY(tblDados[[#This Row],[Data Aniversário]]))</f>
        <v>7</v>
      </c>
      <c r="G15" s="29" t="str">
        <f ca="1">IF(tblDados[[#This Row],[Dias Restante]]="","",IF(tblDados[[#This Row],[Dias Restante]]=0,"Meus parabéns, Hoje e seu aniversário",IF(tblDados[[#This Row],[Dias Restante]]=1,"Aniversáriando amanhã, organiza a festa","Faltam "&amp;tblDados[[#This Row],[Dias Restante]]&amp;" dia(s)")))</f>
        <v>Faltam 346 dia(s)</v>
      </c>
    </row>
  </sheetData>
  <conditionalFormatting sqref="H9:H1048576 H1 G2:G15">
    <cfRule type="containsText" dxfId="13" priority="1" operator="containsText" text="Aniversáriando amanhã, organiza a festa">
      <formula>NOT(ISERROR(SEARCH("Aniversáriando amanhã, organiza a festa",G1)))</formula>
    </cfRule>
    <cfRule type="containsText" dxfId="12" priority="2" operator="containsText" text="Meus parabéns, Hoje e seu aniversário">
      <formula>NOT(ISERROR(SEARCH("Meus parabéns, Hoje e seu aniversário",G1)))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C10:C13 C15" calculatedColumn="1"/>
  </ignoredErrors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DADOS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Oliveira</dc:creator>
  <cp:lastModifiedBy>Daniel Felix da Silva</cp:lastModifiedBy>
  <dcterms:created xsi:type="dcterms:W3CDTF">2018-03-10T17:10:21Z</dcterms:created>
  <dcterms:modified xsi:type="dcterms:W3CDTF">2019-07-03T19:14:56Z</dcterms:modified>
</cp:coreProperties>
</file>